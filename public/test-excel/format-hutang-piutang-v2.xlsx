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aragon\www\uid-local\public\test-excel\"/>
    </mc:Choice>
  </mc:AlternateContent>
  <xr:revisionPtr revIDLastSave="0" documentId="13_ncr:1_{3CF2C407-4277-4BF1-B81C-7959B08AA253}" xr6:coauthVersionLast="47" xr6:coauthVersionMax="47" xr10:uidLastSave="{00000000-0000-0000-0000-000000000000}"/>
  <bookViews>
    <workbookView xWindow="-120" yWindow="-120" windowWidth="29040" windowHeight="15720" xr2:uid="{7AE78356-FF45-4C79-9DEA-11F74EEF633C}"/>
  </bookViews>
  <sheets>
    <sheet name="HUTANG" sheetId="5" r:id="rId1"/>
    <sheet name="PIUTANG" sheetId="6" r:id="rId2"/>
    <sheet name="FORMAT_EXCEL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5" l="1"/>
  <c r="X3" i="6"/>
  <c r="AD5" i="5"/>
  <c r="V3" i="6"/>
  <c r="U3" i="6"/>
  <c r="AE3" i="5"/>
  <c r="AD3" i="5"/>
  <c r="G5" i="4"/>
  <c r="H5" i="4" s="1"/>
  <c r="G4" i="4"/>
  <c r="H4" i="4" s="1"/>
  <c r="H6" i="4" l="1"/>
</calcChain>
</file>

<file path=xl/sharedStrings.xml><?xml version="1.0" encoding="utf-8"?>
<sst xmlns="http://schemas.openxmlformats.org/spreadsheetml/2006/main" count="165" uniqueCount="72">
  <si>
    <t>P</t>
  </si>
  <si>
    <t>N</t>
  </si>
  <si>
    <t>Kode Suppl</t>
  </si>
  <si>
    <t>Kode Cust</t>
  </si>
  <si>
    <t>RO Date</t>
  </si>
  <si>
    <t>Journal Type</t>
  </si>
  <si>
    <t>Currency</t>
  </si>
  <si>
    <t>DPP</t>
  </si>
  <si>
    <t>PPN</t>
  </si>
  <si>
    <t>TOT</t>
  </si>
  <si>
    <t>DPP FOB</t>
  </si>
  <si>
    <t>PPN FOB</t>
  </si>
  <si>
    <t>TOT FOB</t>
  </si>
  <si>
    <t>INT Branch</t>
  </si>
  <si>
    <t>Inv. No</t>
  </si>
  <si>
    <t>CTS/COA CODE</t>
  </si>
  <si>
    <t>CTS PLAN DATE</t>
  </si>
  <si>
    <t>METODE BAYAR</t>
  </si>
  <si>
    <t>BAYAR VIA</t>
  </si>
  <si>
    <t>NO GIRO</t>
  </si>
  <si>
    <t>KODE TRANSAK</t>
  </si>
  <si>
    <t>JOURNAL DATE</t>
  </si>
  <si>
    <t>100A</t>
  </si>
  <si>
    <t>AJR01</t>
  </si>
  <si>
    <t>AJR02</t>
  </si>
  <si>
    <t>Invoice Date</t>
  </si>
  <si>
    <t>INT BRANCH</t>
  </si>
  <si>
    <t>JOURNAL TYPE</t>
  </si>
  <si>
    <t>COA CODE</t>
  </si>
  <si>
    <t>DISC</t>
  </si>
  <si>
    <t>ADM BANK</t>
  </si>
  <si>
    <t>PENERIMAAN LAIN2</t>
  </si>
  <si>
    <t>BIAYA KIRIM</t>
  </si>
  <si>
    <t>BIAYA ASS</t>
  </si>
  <si>
    <t>BIAYA LAIN</t>
  </si>
  <si>
    <t>SORT BY KODE SUPPLIER</t>
  </si>
  <si>
    <t>SORT BY KODE CUSTOMER</t>
  </si>
  <si>
    <t>Kode Supplier</t>
  </si>
  <si>
    <t>Rupiah</t>
  </si>
  <si>
    <t>abc 007</t>
  </si>
  <si>
    <t>Bank</t>
  </si>
  <si>
    <t>Giro</t>
  </si>
  <si>
    <t>Metode Bayar</t>
  </si>
  <si>
    <t>Cash</t>
  </si>
  <si>
    <t>Advance Payment</t>
  </si>
  <si>
    <t>Pembayaran Via</t>
  </si>
  <si>
    <t>EDC</t>
  </si>
  <si>
    <t>Bank Transfer</t>
  </si>
  <si>
    <t>Customer Deposit</t>
  </si>
  <si>
    <t>A001</t>
  </si>
  <si>
    <t>A002</t>
  </si>
  <si>
    <t>abc 1</t>
  </si>
  <si>
    <t>abc 2</t>
  </si>
  <si>
    <t>abc 3</t>
  </si>
  <si>
    <t>abc 008</t>
  </si>
  <si>
    <t>abc 009</t>
  </si>
  <si>
    <t>abc 001</t>
  </si>
  <si>
    <t>A007</t>
  </si>
  <si>
    <t>abc 4</t>
  </si>
  <si>
    <t>CASH</t>
  </si>
  <si>
    <t>abc 12345</t>
  </si>
  <si>
    <t>cts01</t>
  </si>
  <si>
    <t>cts02</t>
  </si>
  <si>
    <t>cts03</t>
  </si>
  <si>
    <t>BANK</t>
  </si>
  <si>
    <t>abc 54321</t>
  </si>
  <si>
    <t>Bayar Via</t>
  </si>
  <si>
    <t>AAS01</t>
  </si>
  <si>
    <t>JKT</t>
  </si>
  <si>
    <t>AKV01</t>
  </si>
  <si>
    <t>ADI01</t>
  </si>
  <si>
    <t>APS01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</si>
</sst>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65" fontId="0" fillId="0" borderId="0" xfId="1" applyNumberFormat="1" applyFont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F9B0-BF4D-4437-8D8B-EB8F6108F5E9}">
  <dimension ref="A1:AE5"/>
  <sheetViews>
    <sheetView tabSelected="1" topLeftCell="C1" workbookViewId="0">
      <selection activeCell="M5" sqref="M5"/>
    </sheetView>
  </sheetViews>
  <sheetFormatPr defaultRowHeight="15" x14ac:dyDescent="0.25"/>
  <cols>
    <col min="1" max="1" width="13.28515625" bestFit="1" customWidth="1"/>
    <col min="2" max="2" width="10.42578125" bestFit="1" customWidth="1"/>
    <col min="3" max="3" width="12" bestFit="1" customWidth="1"/>
    <col min="11" max="11" width="10.7109375" bestFit="1" customWidth="1"/>
    <col min="13" max="13" width="8.5703125" bestFit="1" customWidth="1"/>
    <col min="14" max="14" width="10.42578125" bestFit="1" customWidth="1"/>
    <col min="17" max="17" width="9" bestFit="1" customWidth="1"/>
    <col min="19" max="19" width="10.42578125" bestFit="1" customWidth="1"/>
    <col min="30" max="30" width="14.28515625" bestFit="1" customWidth="1"/>
    <col min="31" max="31" width="13.28515625" bestFit="1" customWidth="1"/>
  </cols>
  <sheetData>
    <row r="1" spans="1:31" ht="30" x14ac:dyDescent="0.25">
      <c r="A1" s="1" t="s">
        <v>37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4" t="s">
        <v>16</v>
      </c>
      <c r="O1" s="5" t="s">
        <v>17</v>
      </c>
      <c r="P1" s="4" t="s">
        <v>18</v>
      </c>
      <c r="Q1" s="5" t="s">
        <v>20</v>
      </c>
      <c r="R1" s="5" t="s">
        <v>19</v>
      </c>
      <c r="S1" s="5" t="s">
        <v>21</v>
      </c>
      <c r="T1" s="5" t="s">
        <v>30</v>
      </c>
      <c r="U1" s="5" t="s">
        <v>33</v>
      </c>
      <c r="V1" s="5" t="s">
        <v>32</v>
      </c>
      <c r="W1" s="5" t="s">
        <v>34</v>
      </c>
      <c r="X1" s="8" t="s">
        <v>29</v>
      </c>
    </row>
    <row r="2" spans="1:31" x14ac:dyDescent="0.25">
      <c r="A2" t="s">
        <v>67</v>
      </c>
      <c r="B2" s="10">
        <v>45324</v>
      </c>
      <c r="C2" t="s">
        <v>0</v>
      </c>
      <c r="D2" t="s">
        <v>38</v>
      </c>
      <c r="E2">
        <v>5000000</v>
      </c>
      <c r="F2">
        <v>550000</v>
      </c>
      <c r="G2">
        <v>5550000.0000000009</v>
      </c>
      <c r="H2">
        <v>0</v>
      </c>
      <c r="I2">
        <v>0</v>
      </c>
      <c r="J2">
        <v>0</v>
      </c>
      <c r="K2" t="s">
        <v>68</v>
      </c>
      <c r="L2" t="s">
        <v>39</v>
      </c>
      <c r="M2">
        <v>11211</v>
      </c>
      <c r="N2" s="10">
        <v>45326</v>
      </c>
      <c r="O2" t="s">
        <v>40</v>
      </c>
      <c r="P2" t="s">
        <v>41</v>
      </c>
      <c r="Q2" t="s">
        <v>49</v>
      </c>
      <c r="R2" t="s">
        <v>51</v>
      </c>
      <c r="S2" s="10">
        <v>45328</v>
      </c>
      <c r="T2">
        <v>500</v>
      </c>
      <c r="U2">
        <v>200</v>
      </c>
      <c r="V2">
        <v>150</v>
      </c>
      <c r="W2">
        <v>300</v>
      </c>
      <c r="X2">
        <v>2500</v>
      </c>
      <c r="Z2" t="s">
        <v>61</v>
      </c>
      <c r="AA2">
        <f>E5/AC2</f>
        <v>138.88888888888889</v>
      </c>
      <c r="AC2">
        <v>18000</v>
      </c>
      <c r="AD2">
        <v>11</v>
      </c>
      <c r="AE2">
        <v>1.1100000000000001</v>
      </c>
    </row>
    <row r="3" spans="1:31" x14ac:dyDescent="0.25">
      <c r="B3" s="10">
        <v>45414</v>
      </c>
      <c r="C3" t="s">
        <v>0</v>
      </c>
      <c r="D3" t="s">
        <v>38</v>
      </c>
      <c r="E3">
        <v>7500000</v>
      </c>
      <c r="F3">
        <v>825000</v>
      </c>
      <c r="G3">
        <v>8325000.0000000009</v>
      </c>
      <c r="H3">
        <v>0</v>
      </c>
      <c r="I3">
        <v>0</v>
      </c>
      <c r="J3">
        <v>0</v>
      </c>
      <c r="K3" t="s">
        <v>68</v>
      </c>
      <c r="L3" t="s">
        <v>54</v>
      </c>
      <c r="M3">
        <v>11211</v>
      </c>
      <c r="N3" s="10">
        <v>45326</v>
      </c>
      <c r="O3" t="s">
        <v>40</v>
      </c>
      <c r="P3" t="s">
        <v>41</v>
      </c>
      <c r="Q3" t="s">
        <v>49</v>
      </c>
      <c r="R3" t="s">
        <v>52</v>
      </c>
      <c r="S3" s="10">
        <v>45328</v>
      </c>
      <c r="AD3">
        <f>E4*AD2/100</f>
        <v>1045000</v>
      </c>
      <c r="AE3">
        <f>E4*AE2</f>
        <v>10545000</v>
      </c>
    </row>
    <row r="4" spans="1:31" x14ac:dyDescent="0.25">
      <c r="B4" s="10">
        <v>45353</v>
      </c>
      <c r="C4" t="s">
        <v>0</v>
      </c>
      <c r="D4" t="s">
        <v>38</v>
      </c>
      <c r="E4">
        <v>9500000</v>
      </c>
      <c r="F4">
        <v>1045000</v>
      </c>
      <c r="G4">
        <v>10545000</v>
      </c>
      <c r="H4">
        <v>0</v>
      </c>
      <c r="I4">
        <v>0</v>
      </c>
      <c r="J4">
        <v>0</v>
      </c>
      <c r="K4" t="s">
        <v>68</v>
      </c>
      <c r="L4" t="s">
        <v>55</v>
      </c>
      <c r="M4">
        <v>11211</v>
      </c>
      <c r="N4" s="10">
        <v>45326</v>
      </c>
      <c r="O4" t="s">
        <v>40</v>
      </c>
      <c r="P4" t="s">
        <v>41</v>
      </c>
      <c r="Q4" t="s">
        <v>50</v>
      </c>
      <c r="R4" t="s">
        <v>53</v>
      </c>
      <c r="S4" s="10">
        <v>45357</v>
      </c>
      <c r="T4">
        <v>1500</v>
      </c>
      <c r="U4">
        <v>500</v>
      </c>
      <c r="V4">
        <v>150</v>
      </c>
      <c r="W4">
        <v>300</v>
      </c>
      <c r="X4">
        <v>2500</v>
      </c>
      <c r="Z4" t="s">
        <v>62</v>
      </c>
    </row>
    <row r="5" spans="1:31" x14ac:dyDescent="0.25">
      <c r="A5" t="s">
        <v>69</v>
      </c>
      <c r="B5" s="10">
        <v>45659</v>
      </c>
      <c r="C5" t="s">
        <v>1</v>
      </c>
      <c r="D5" t="s">
        <v>38</v>
      </c>
      <c r="E5">
        <v>2500000</v>
      </c>
      <c r="F5">
        <v>0</v>
      </c>
      <c r="G5">
        <v>2500000</v>
      </c>
      <c r="H5">
        <v>138.88888888888889</v>
      </c>
      <c r="I5">
        <v>0</v>
      </c>
      <c r="J5">
        <v>138.88888888888889</v>
      </c>
      <c r="K5" t="s">
        <v>68</v>
      </c>
      <c r="L5" t="s">
        <v>56</v>
      </c>
      <c r="M5">
        <v>11222</v>
      </c>
      <c r="N5" s="10">
        <v>45664</v>
      </c>
      <c r="O5" t="s">
        <v>40</v>
      </c>
      <c r="P5" t="s">
        <v>41</v>
      </c>
      <c r="Q5" t="s">
        <v>57</v>
      </c>
      <c r="R5" t="s">
        <v>58</v>
      </c>
      <c r="S5" s="10">
        <v>45697</v>
      </c>
      <c r="T5">
        <v>0</v>
      </c>
      <c r="U5">
        <v>500</v>
      </c>
      <c r="V5">
        <v>0</v>
      </c>
      <c r="W5">
        <v>300</v>
      </c>
      <c r="X5">
        <v>2500</v>
      </c>
      <c r="Z5" t="s">
        <v>63</v>
      </c>
      <c r="AD5" s="6">
        <f>SUM(G2:G4)</f>
        <v>24420000</v>
      </c>
      <c r="AE5" s="6">
        <v>2500000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7E39-3E90-4211-9883-272B8E5E46CF}">
  <dimension ref="A1:X5"/>
  <sheetViews>
    <sheetView workbookViewId="0">
      <selection activeCell="J5" sqref="J5"/>
    </sheetView>
  </sheetViews>
  <sheetFormatPr defaultRowHeight="15" x14ac:dyDescent="0.25"/>
  <cols>
    <col min="1" max="1" width="9.7109375" bestFit="1" customWidth="1"/>
    <col min="2" max="2" width="10.42578125" bestFit="1" customWidth="1"/>
    <col min="3" max="3" width="11.7109375" bestFit="1" customWidth="1"/>
    <col min="9" max="9" width="13.28515625" bestFit="1" customWidth="1"/>
    <col min="11" max="11" width="9.7109375" bestFit="1" customWidth="1"/>
    <col min="12" max="12" width="10.42578125" bestFit="1" customWidth="1"/>
    <col min="24" max="24" width="14.28515625" bestFit="1" customWidth="1"/>
  </cols>
  <sheetData>
    <row r="1" spans="1:24" ht="45" x14ac:dyDescent="0.25">
      <c r="A1" s="2" t="s">
        <v>3</v>
      </c>
      <c r="B1" s="7" t="s">
        <v>25</v>
      </c>
      <c r="C1" s="2" t="s">
        <v>26</v>
      </c>
      <c r="D1" s="2" t="s">
        <v>7</v>
      </c>
      <c r="E1" s="2" t="s">
        <v>8</v>
      </c>
      <c r="F1" s="2" t="s">
        <v>9</v>
      </c>
      <c r="G1" s="7" t="s">
        <v>27</v>
      </c>
      <c r="H1" s="7" t="s">
        <v>17</v>
      </c>
      <c r="I1" s="7" t="s">
        <v>66</v>
      </c>
      <c r="J1" s="7" t="s">
        <v>28</v>
      </c>
      <c r="K1" s="5" t="s">
        <v>19</v>
      </c>
      <c r="L1" s="5" t="s">
        <v>21</v>
      </c>
      <c r="M1" s="8" t="s">
        <v>29</v>
      </c>
      <c r="N1" s="9" t="s">
        <v>30</v>
      </c>
      <c r="O1" s="9" t="s">
        <v>31</v>
      </c>
      <c r="P1" s="9" t="s">
        <v>32</v>
      </c>
    </row>
    <row r="2" spans="1:24" x14ac:dyDescent="0.25">
      <c r="A2" t="s">
        <v>70</v>
      </c>
      <c r="B2" s="11">
        <v>45749</v>
      </c>
      <c r="C2" t="s">
        <v>68</v>
      </c>
      <c r="D2">
        <v>3500000</v>
      </c>
      <c r="E2">
        <v>385000</v>
      </c>
      <c r="F2">
        <v>3885000.0000000005</v>
      </c>
      <c r="G2" t="s">
        <v>0</v>
      </c>
      <c r="H2" t="s">
        <v>59</v>
      </c>
      <c r="I2" t="s">
        <v>43</v>
      </c>
      <c r="J2">
        <v>11111</v>
      </c>
      <c r="K2" t="s">
        <v>60</v>
      </c>
      <c r="L2" s="11">
        <v>45752</v>
      </c>
      <c r="M2">
        <v>1000</v>
      </c>
      <c r="N2">
        <v>2500</v>
      </c>
      <c r="O2">
        <v>35000</v>
      </c>
      <c r="P2">
        <v>5000</v>
      </c>
      <c r="U2">
        <v>0.11</v>
      </c>
      <c r="V2">
        <v>1.1100000000000001</v>
      </c>
    </row>
    <row r="3" spans="1:24" x14ac:dyDescent="0.25">
      <c r="B3" s="11">
        <v>45750</v>
      </c>
      <c r="C3" t="s">
        <v>68</v>
      </c>
      <c r="D3">
        <v>7500000</v>
      </c>
      <c r="E3">
        <v>825000</v>
      </c>
      <c r="F3">
        <v>8325000.0000000009</v>
      </c>
      <c r="G3" t="s">
        <v>0</v>
      </c>
      <c r="H3" t="s">
        <v>59</v>
      </c>
      <c r="I3" t="s">
        <v>43</v>
      </c>
      <c r="J3">
        <v>11111</v>
      </c>
      <c r="L3" s="11">
        <v>45753</v>
      </c>
      <c r="U3">
        <f>U2*D3</f>
        <v>825000</v>
      </c>
      <c r="V3">
        <f>V2*D3</f>
        <v>8325000.0000000009</v>
      </c>
      <c r="X3" s="6">
        <f>SUM(F2:F4)</f>
        <v>21090000</v>
      </c>
    </row>
    <row r="4" spans="1:24" x14ac:dyDescent="0.25">
      <c r="B4" s="11">
        <v>45782</v>
      </c>
      <c r="C4" t="s">
        <v>68</v>
      </c>
      <c r="D4">
        <v>8000000</v>
      </c>
      <c r="E4">
        <v>880000</v>
      </c>
      <c r="F4">
        <v>8880000</v>
      </c>
      <c r="G4" t="s">
        <v>0</v>
      </c>
      <c r="H4" t="s">
        <v>59</v>
      </c>
      <c r="I4" t="s">
        <v>43</v>
      </c>
      <c r="J4">
        <v>11111</v>
      </c>
      <c r="L4" s="11">
        <v>45785</v>
      </c>
    </row>
    <row r="5" spans="1:24" x14ac:dyDescent="0.25">
      <c r="A5" t="s">
        <v>71</v>
      </c>
      <c r="B5" s="11">
        <v>45478</v>
      </c>
      <c r="C5" t="s">
        <v>68</v>
      </c>
      <c r="D5">
        <v>90000000</v>
      </c>
      <c r="E5">
        <v>0</v>
      </c>
      <c r="F5">
        <v>90000000</v>
      </c>
      <c r="G5" t="s">
        <v>1</v>
      </c>
      <c r="H5" t="s">
        <v>64</v>
      </c>
      <c r="I5" t="s">
        <v>47</v>
      </c>
      <c r="J5">
        <v>11112</v>
      </c>
      <c r="K5" t="s">
        <v>65</v>
      </c>
      <c r="L5" s="11">
        <v>45483</v>
      </c>
      <c r="M5">
        <v>1500</v>
      </c>
      <c r="N5">
        <v>2500</v>
      </c>
      <c r="O5">
        <v>0</v>
      </c>
      <c r="P5">
        <v>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1420-E60A-4AFF-A9EC-D7D0561349C6}">
  <dimension ref="B2:Y23"/>
  <sheetViews>
    <sheetView workbookViewId="0">
      <selection activeCell="N31" sqref="N31"/>
    </sheetView>
  </sheetViews>
  <sheetFormatPr defaultRowHeight="15" x14ac:dyDescent="0.25"/>
  <cols>
    <col min="2" max="2" width="12.7109375" customWidth="1"/>
    <col min="4" max="4" width="11.5703125" customWidth="1"/>
    <col min="6" max="6" width="11.140625" bestFit="1" customWidth="1"/>
    <col min="12" max="12" width="10.42578125" customWidth="1"/>
    <col min="21" max="21" width="9.140625" bestFit="1" customWidth="1"/>
  </cols>
  <sheetData>
    <row r="2" spans="2:25" x14ac:dyDescent="0.25">
      <c r="B2" t="s">
        <v>35</v>
      </c>
    </row>
    <row r="3" spans="2:25" ht="27.6" customHeight="1" x14ac:dyDescent="0.25">
      <c r="B3" s="1" t="s">
        <v>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4" t="s">
        <v>15</v>
      </c>
      <c r="O3" s="4" t="s">
        <v>16</v>
      </c>
      <c r="P3" s="5" t="s">
        <v>17</v>
      </c>
      <c r="Q3" s="4" t="s">
        <v>18</v>
      </c>
      <c r="R3" s="5" t="s">
        <v>20</v>
      </c>
      <c r="S3" s="5" t="s">
        <v>19</v>
      </c>
      <c r="T3" s="5" t="s">
        <v>21</v>
      </c>
      <c r="U3" s="5" t="s">
        <v>30</v>
      </c>
      <c r="V3" s="5" t="s">
        <v>33</v>
      </c>
      <c r="W3" s="5" t="s">
        <v>32</v>
      </c>
      <c r="X3" s="5" t="s">
        <v>34</v>
      </c>
      <c r="Y3" s="8" t="s">
        <v>29</v>
      </c>
    </row>
    <row r="4" spans="2:25" x14ac:dyDescent="0.25">
      <c r="B4" t="s">
        <v>23</v>
      </c>
      <c r="F4" s="6">
        <v>100000</v>
      </c>
      <c r="G4" s="6">
        <f>F4*11%</f>
        <v>11000</v>
      </c>
      <c r="H4" s="6">
        <f>G4+F4</f>
        <v>111000</v>
      </c>
      <c r="M4" t="s">
        <v>23</v>
      </c>
      <c r="R4" t="s">
        <v>22</v>
      </c>
      <c r="U4" s="6">
        <v>2900</v>
      </c>
    </row>
    <row r="5" spans="2:25" x14ac:dyDescent="0.25">
      <c r="B5" t="s">
        <v>23</v>
      </c>
      <c r="F5" s="6">
        <v>200000</v>
      </c>
      <c r="G5" s="6">
        <f>F5*11%</f>
        <v>22000</v>
      </c>
      <c r="H5" s="6">
        <f>G5+F5</f>
        <v>222000</v>
      </c>
      <c r="M5" t="s">
        <v>24</v>
      </c>
      <c r="R5" t="s">
        <v>22</v>
      </c>
    </row>
    <row r="6" spans="2:25" x14ac:dyDescent="0.25">
      <c r="B6" t="s">
        <v>24</v>
      </c>
      <c r="F6" s="6"/>
      <c r="G6" s="6"/>
      <c r="H6" s="6">
        <f>SUM(H4:H5)</f>
        <v>333000</v>
      </c>
    </row>
    <row r="9" spans="2:25" x14ac:dyDescent="0.25">
      <c r="B9" s="3" t="s">
        <v>42</v>
      </c>
    </row>
    <row r="10" spans="2:25" x14ac:dyDescent="0.25">
      <c r="B10" t="s">
        <v>43</v>
      </c>
      <c r="C10" t="s">
        <v>40</v>
      </c>
      <c r="D10" t="s">
        <v>44</v>
      </c>
    </row>
    <row r="12" spans="2:25" x14ac:dyDescent="0.25">
      <c r="B12" s="3" t="s">
        <v>45</v>
      </c>
    </row>
    <row r="13" spans="2:25" x14ac:dyDescent="0.25">
      <c r="B13" t="s">
        <v>46</v>
      </c>
      <c r="C13" t="s">
        <v>41</v>
      </c>
      <c r="D13" t="s">
        <v>43</v>
      </c>
      <c r="E13" t="s">
        <v>47</v>
      </c>
      <c r="G13" t="s">
        <v>48</v>
      </c>
    </row>
    <row r="15" spans="2:25" x14ac:dyDescent="0.25">
      <c r="B15" t="s">
        <v>36</v>
      </c>
    </row>
    <row r="16" spans="2:25" ht="26.1" customHeight="1" x14ac:dyDescent="0.25">
      <c r="B16" s="2" t="s">
        <v>3</v>
      </c>
      <c r="C16" s="7" t="s">
        <v>25</v>
      </c>
      <c r="D16" s="2" t="s">
        <v>26</v>
      </c>
      <c r="E16" s="2" t="s">
        <v>7</v>
      </c>
      <c r="F16" s="2" t="s">
        <v>8</v>
      </c>
      <c r="G16" s="2" t="s">
        <v>9</v>
      </c>
      <c r="H16" s="7" t="s">
        <v>27</v>
      </c>
      <c r="I16" s="7" t="s">
        <v>17</v>
      </c>
      <c r="J16" s="7" t="s">
        <v>28</v>
      </c>
      <c r="K16" s="5" t="s">
        <v>19</v>
      </c>
      <c r="L16" s="5" t="s">
        <v>21</v>
      </c>
      <c r="M16" s="8" t="s">
        <v>29</v>
      </c>
      <c r="N16" s="9" t="s">
        <v>30</v>
      </c>
      <c r="O16" s="9" t="s">
        <v>31</v>
      </c>
      <c r="P16" s="9" t="s">
        <v>32</v>
      </c>
    </row>
    <row r="19" spans="2:7" x14ac:dyDescent="0.25">
      <c r="B19" s="3" t="s">
        <v>42</v>
      </c>
    </row>
    <row r="20" spans="2:7" x14ac:dyDescent="0.25">
      <c r="B20" t="s">
        <v>43</v>
      </c>
      <c r="C20" t="s">
        <v>40</v>
      </c>
      <c r="D20" t="s">
        <v>48</v>
      </c>
    </row>
    <row r="22" spans="2:7" x14ac:dyDescent="0.25">
      <c r="B22" s="3" t="s">
        <v>45</v>
      </c>
    </row>
    <row r="23" spans="2:7" x14ac:dyDescent="0.25">
      <c r="B23" t="s">
        <v>46</v>
      </c>
      <c r="C23" t="s">
        <v>41</v>
      </c>
      <c r="D23" t="s">
        <v>43</v>
      </c>
      <c r="E23" t="s">
        <v>47</v>
      </c>
      <c r="G2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HUTANG</vt:lpstr>
      <vt:lpstr>PIUTANG</vt:lpstr>
      <vt:lpstr>FORMAT_EXCEL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</dc:creator>
  <cp:lastModifiedBy>Andy DwiCahya Hidayanto</cp:lastModifiedBy>
  <dcterms:created xsi:type="dcterms:W3CDTF">2026-08-27T09:29:38Z</dcterms:created>
  <dcterms:modified xsi:type="dcterms:W3CDTF">2026-09-01T04:40:56Z</dcterms:modified>
</cp:coreProperties>
</file>